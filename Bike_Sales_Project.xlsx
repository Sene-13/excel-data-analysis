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74FCB4A8-D2DF-47D2-AA79-28A36736AB72}"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sheet'!$A$1:$N$1027</definedName>
    <definedName name="Slicer_Education">#N/A</definedName>
    <definedName name="Slicer_Marital_Status">#N/A</definedName>
    <definedName name="Slicer_Region">#N/A</definedName>
  </definedNames>
  <calcPr calcId="18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<sst xmlns="http://schemas.openxmlformats.org/spreadsheetml/2006/main" count="16265" uniqueCount="50">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</sst>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vertical="center" wrapText="1"/>
    </xf>
    <xf numFmtId="0" fontId="19"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66666.666666666672</c:v>
                </c:pt>
                <c:pt idx="1">
                  <c:v>22500</c:v>
                </c:pt>
              </c:numCache>
            </c:numRef>
          </c:val>
          <c:extLst>
            <c:ext xmlns:c16="http://schemas.microsoft.com/office/drawing/2014/chart" uri="{C3380CC4-5D6E-409C-BE32-E72D297353CC}">
              <c16:uniqueId val="{00000000-2B22-40F0-95D9-24FBB4B6CB6E}"/>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35000</c:v>
                </c:pt>
                <c:pt idx="1">
                  <c:v>33333.333333333336</c:v>
                </c:pt>
              </c:numCache>
            </c:numRef>
          </c:val>
          <c:extLst>
            <c:ext xmlns:c16="http://schemas.microsoft.com/office/drawing/2014/chart" uri="{C3380CC4-5D6E-409C-BE32-E72D297353CC}">
              <c16:uniqueId val="{00000001-2B22-40F0-95D9-24FBB4B6CB6E}"/>
            </c:ext>
          </c:extLst>
        </c:ser>
        <c:dLbls>
          <c:showLegendKey val="0"/>
          <c:showVal val="0"/>
          <c:showCatName val="0"/>
          <c:showSerName val="0"/>
          <c:showPercent val="0"/>
          <c:showBubbleSize val="0"/>
        </c:dLbls>
        <c:gapWidth val="219"/>
        <c:overlap val="-27"/>
        <c:axId val="426029456"/>
        <c:axId val="426029816"/>
      </c:barChart>
      <c:catAx>
        <c:axId val="42602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29816"/>
        <c:crosses val="autoZero"/>
        <c:auto val="1"/>
        <c:lblAlgn val="ctr"/>
        <c:lblOffset val="100"/>
        <c:noMultiLvlLbl val="0"/>
      </c:catAx>
      <c:valAx>
        <c:axId val="426029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table'!$A$26:$A$30</c:f>
              <c:strCache>
                <c:ptCount val="4"/>
                <c:pt idx="0">
                  <c:v>0-1 Miles</c:v>
                </c:pt>
                <c:pt idx="1">
                  <c:v>1-2 Miles</c:v>
                </c:pt>
                <c:pt idx="2">
                  <c:v>2-5 Miles</c:v>
                </c:pt>
                <c:pt idx="3">
                  <c:v>More than 10 Miles</c:v>
                </c:pt>
              </c:strCache>
            </c:strRef>
          </c:cat>
          <c:val>
            <c:numRef>
              <c:f>'pivot table'!$B$26:$B$30</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0A51-4377-9407-932F9E9829F7}"/>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table'!$A$26:$A$30</c:f>
              <c:strCache>
                <c:ptCount val="4"/>
                <c:pt idx="0">
                  <c:v>0-1 Miles</c:v>
                </c:pt>
                <c:pt idx="1">
                  <c:v>1-2 Miles</c:v>
                </c:pt>
                <c:pt idx="2">
                  <c:v>2-5 Miles</c:v>
                </c:pt>
                <c:pt idx="3">
                  <c:v>More than 10 Miles</c:v>
                </c:pt>
              </c:strCache>
            </c:strRef>
          </c:cat>
          <c:val>
            <c:numRef>
              <c:f>'pivot table'!$C$26:$C$30</c:f>
              <c:numCache>
                <c:formatCode>General</c:formatCode>
                <c:ptCount val="4"/>
                <c:pt idx="0">
                  <c:v>11</c:v>
                </c:pt>
                <c:pt idx="1">
                  <c:v>2</c:v>
                </c:pt>
              </c:numCache>
            </c:numRef>
          </c:val>
          <c:smooth val="0"/>
          <c:extLst>
            <c:ext xmlns:c16="http://schemas.microsoft.com/office/drawing/2014/chart" uri="{C3380CC4-5D6E-409C-BE32-E72D297353CC}">
              <c16:uniqueId val="{00000001-0A51-4377-9407-932F9E9829F7}"/>
            </c:ext>
          </c:extLst>
        </c:ser>
        <c:dLbls>
          <c:showLegendKey val="0"/>
          <c:showVal val="0"/>
          <c:showCatName val="0"/>
          <c:showSerName val="0"/>
          <c:showPercent val="0"/>
          <c:showBubbleSize val="0"/>
        </c:dLbls>
        <c:smooth val="0"/>
        <c:axId val="420349488"/>
        <c:axId val="420350568"/>
      </c:lineChart>
      <c:catAx>
        <c:axId val="4203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350568"/>
        <c:crosses val="autoZero"/>
        <c:auto val="1"/>
        <c:lblAlgn val="ctr"/>
        <c:lblOffset val="100"/>
        <c:noMultiLvlLbl val="0"/>
      </c:catAx>
      <c:valAx>
        <c:axId val="420350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3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c:v>
                </c:pt>
                <c:pt idx="1">
                  <c:v>Old</c:v>
                </c:pt>
              </c:strCache>
            </c:strRef>
          </c:cat>
          <c:val>
            <c:numRef>
              <c:f>'pivot table'!$B$44:$B$46</c:f>
              <c:numCache>
                <c:formatCode>General</c:formatCode>
                <c:ptCount val="2"/>
                <c:pt idx="0">
                  <c:v>4</c:v>
                </c:pt>
                <c:pt idx="1">
                  <c:v>3</c:v>
                </c:pt>
              </c:numCache>
            </c:numRef>
          </c:val>
          <c:smooth val="0"/>
          <c:extLst>
            <c:ext xmlns:c16="http://schemas.microsoft.com/office/drawing/2014/chart" uri="{C3380CC4-5D6E-409C-BE32-E72D297353CC}">
              <c16:uniqueId val="{00000000-B4B0-484B-AE2D-E59D7190ED66}"/>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c:v>
                </c:pt>
                <c:pt idx="1">
                  <c:v>Old</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B4B0-484B-AE2D-E59D7190ED66}"/>
            </c:ext>
          </c:extLst>
        </c:ser>
        <c:dLbls>
          <c:showLegendKey val="0"/>
          <c:showVal val="0"/>
          <c:showCatName val="0"/>
          <c:showSerName val="0"/>
          <c:showPercent val="0"/>
          <c:showBubbleSize val="0"/>
        </c:dLbls>
        <c:marker val="1"/>
        <c:smooth val="0"/>
        <c:axId val="617495776"/>
        <c:axId val="617504776"/>
      </c:lineChart>
      <c:catAx>
        <c:axId val="61749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04776"/>
        <c:crosses val="autoZero"/>
        <c:auto val="1"/>
        <c:lblAlgn val="ctr"/>
        <c:lblOffset val="100"/>
        <c:noMultiLvlLbl val="0"/>
      </c:catAx>
      <c:valAx>
        <c:axId val="617504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9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"$"#,##0</c:formatCode>
                <c:ptCount val="2"/>
                <c:pt idx="0">
                  <c:v>66666.666666666672</c:v>
                </c:pt>
                <c:pt idx="1">
                  <c:v>22500</c:v>
                </c:pt>
              </c:numCache>
            </c:numRef>
          </c:val>
          <c:extLst>
            <c:ext xmlns:c16="http://schemas.microsoft.com/office/drawing/2014/chart" uri="{C3380CC4-5D6E-409C-BE32-E72D297353CC}">
              <c16:uniqueId val="{00000000-30E8-4276-829D-2144E98CEB86}"/>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"$"#,##0</c:formatCode>
                <c:ptCount val="2"/>
                <c:pt idx="0">
                  <c:v>35000</c:v>
                </c:pt>
                <c:pt idx="1">
                  <c:v>33333.333333333336</c:v>
                </c:pt>
              </c:numCache>
            </c:numRef>
          </c:val>
          <c:extLst>
            <c:ext xmlns:c16="http://schemas.microsoft.com/office/drawing/2014/chart" uri="{C3380CC4-5D6E-409C-BE32-E72D297353CC}">
              <c16:uniqueId val="{00000001-30E8-4276-829D-2144E98CEB86}"/>
            </c:ext>
          </c:extLst>
        </c:ser>
        <c:dLbls>
          <c:showLegendKey val="0"/>
          <c:showVal val="0"/>
          <c:showCatName val="0"/>
          <c:showSerName val="0"/>
          <c:showPercent val="0"/>
          <c:showBubbleSize val="0"/>
        </c:dLbls>
        <c:gapWidth val="219"/>
        <c:overlap val="-27"/>
        <c:axId val="426029456"/>
        <c:axId val="426029816"/>
      </c:barChart>
      <c:catAx>
        <c:axId val="426029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29816"/>
        <c:crosses val="autoZero"/>
        <c:auto val="1"/>
        <c:lblAlgn val="ctr"/>
        <c:lblOffset val="100"/>
        <c:noMultiLvlLbl val="0"/>
      </c:catAx>
      <c:valAx>
        <c:axId val="426029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02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table'!$A$26:$A$30</c:f>
              <c:strCache>
                <c:ptCount val="4"/>
                <c:pt idx="0">
                  <c:v>0-1 Miles</c:v>
                </c:pt>
                <c:pt idx="1">
                  <c:v>1-2 Miles</c:v>
                </c:pt>
                <c:pt idx="2">
                  <c:v>2-5 Miles</c:v>
                </c:pt>
                <c:pt idx="3">
                  <c:v>More than 10 Miles</c:v>
                </c:pt>
              </c:strCache>
            </c:strRef>
          </c:cat>
          <c:val>
            <c:numRef>
              <c:f>'pivot table'!$B$26:$B$30</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F8DE-4DE4-91FF-FD8EFB3A3D78}"/>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table'!$A$26:$A$30</c:f>
              <c:strCache>
                <c:ptCount val="4"/>
                <c:pt idx="0">
                  <c:v>0-1 Miles</c:v>
                </c:pt>
                <c:pt idx="1">
                  <c:v>1-2 Miles</c:v>
                </c:pt>
                <c:pt idx="2">
                  <c:v>2-5 Miles</c:v>
                </c:pt>
                <c:pt idx="3">
                  <c:v>More than 10 Miles</c:v>
                </c:pt>
              </c:strCache>
            </c:strRef>
          </c:cat>
          <c:val>
            <c:numRef>
              <c:f>'pivot table'!$C$26:$C$30</c:f>
              <c:numCache>
                <c:formatCode>General</c:formatCode>
                <c:ptCount val="4"/>
                <c:pt idx="0">
                  <c:v>11</c:v>
                </c:pt>
                <c:pt idx="1">
                  <c:v>2</c:v>
                </c:pt>
              </c:numCache>
            </c:numRef>
          </c:val>
          <c:smooth val="0"/>
          <c:extLst>
            <c:ext xmlns:c16="http://schemas.microsoft.com/office/drawing/2014/chart" uri="{C3380CC4-5D6E-409C-BE32-E72D297353CC}">
              <c16:uniqueId val="{00000001-F8DE-4DE4-91FF-FD8EFB3A3D78}"/>
            </c:ext>
          </c:extLst>
        </c:ser>
        <c:dLbls>
          <c:showLegendKey val="0"/>
          <c:showVal val="0"/>
          <c:showCatName val="0"/>
          <c:showSerName val="0"/>
          <c:showPercent val="0"/>
          <c:showBubbleSize val="0"/>
        </c:dLbls>
        <c:smooth val="0"/>
        <c:axId val="420349488"/>
        <c:axId val="420350568"/>
      </c:lineChart>
      <c:catAx>
        <c:axId val="420349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350568"/>
        <c:crosses val="autoZero"/>
        <c:auto val="1"/>
        <c:lblAlgn val="ctr"/>
        <c:lblOffset val="100"/>
        <c:noMultiLvlLbl val="0"/>
      </c:catAx>
      <c:valAx>
        <c:axId val="420350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34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table'!$A$44:$A$46</c:f>
              <c:strCache>
                <c:ptCount val="2"/>
                <c:pt idx="0">
                  <c:v>Middle Age</c:v>
                </c:pt>
                <c:pt idx="1">
                  <c:v>Old</c:v>
                </c:pt>
              </c:strCache>
            </c:strRef>
          </c:cat>
          <c:val>
            <c:numRef>
              <c:f>'pivot table'!$B$44:$B$46</c:f>
              <c:numCache>
                <c:formatCode>General</c:formatCode>
                <c:ptCount val="2"/>
                <c:pt idx="0">
                  <c:v>4</c:v>
                </c:pt>
                <c:pt idx="1">
                  <c:v>3</c:v>
                </c:pt>
              </c:numCache>
            </c:numRef>
          </c:val>
          <c:smooth val="0"/>
          <c:extLst>
            <c:ext xmlns:c16="http://schemas.microsoft.com/office/drawing/2014/chart" uri="{C3380CC4-5D6E-409C-BE32-E72D297353CC}">
              <c16:uniqueId val="{00000000-D10E-4B82-8387-B26097BB0CA1}"/>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table'!$A$44:$A$46</c:f>
              <c:strCache>
                <c:ptCount val="2"/>
                <c:pt idx="0">
                  <c:v>Middle Age</c:v>
                </c:pt>
                <c:pt idx="1">
                  <c:v>Old</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D10E-4B82-8387-B26097BB0CA1}"/>
            </c:ext>
          </c:extLst>
        </c:ser>
        <c:dLbls>
          <c:showLegendKey val="0"/>
          <c:showVal val="0"/>
          <c:showCatName val="0"/>
          <c:showSerName val="0"/>
          <c:showPercent val="0"/>
          <c:showBubbleSize val="0"/>
        </c:dLbls>
        <c:marker val="1"/>
        <c:smooth val="0"/>
        <c:axId val="617495776"/>
        <c:axId val="617504776"/>
      </c:lineChart>
      <c:catAx>
        <c:axId val="617495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04776"/>
        <c:crosses val="autoZero"/>
        <c:auto val="1"/>
        <c:lblAlgn val="ctr"/>
        <c:lblOffset val="100"/>
        <c:noMultiLvlLbl val="0"/>
      </c:catAx>
      <c:valAx>
        <c:axId val="617504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49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190500</xdr:colOff>
      <xdr:row>3</xdr:row>
      <xdr:rowOff>12700</xdr:rowOff>
    </xdr:from>
    <xdr:to>
      <xdr:col>6</xdr:col>
      <xdr:colOff>190500</xdr:colOff>
      <xdr:row>15</xdr:row>
      <xdr:rowOff>88900</xdr:rowOff>
    </xdr:to>
    <xdr:graphicFrame macro="">
      <xdr:nvGraphicFramePr>
        <xdr:cNvPr id="2" name="Chart 1">
          <a:extLst>
            <a:ext uri="{FF2B5EF4-FFF2-40B4-BE49-F238E27FC236}">
              <a16:creationId xmlns:a16="http://schemas.microsoft.com/office/drawing/2014/main" id="{2783D9E4-0347-4697-A2E8-A2885D36E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234950</xdr:colOff>
      <xdr:row>15</xdr:row>
      <xdr:rowOff>101600</xdr:rowOff>
    </xdr:from>
    <xdr:to>
      <xdr:col>9</xdr:col>
      <xdr:colOff>88900</xdr:colOff>
      <xdr:row>29</xdr:row>
      <xdr:rowOff>31750</xdr:rowOff>
    </xdr:to>
    <xdr:graphicFrame macro="">
      <xdr:nvGraphicFramePr>
        <xdr:cNvPr id="3" name="Chart 2">
          <a:extLst>
            <a:ext uri="{FF2B5EF4-FFF2-40B4-BE49-F238E27FC236}">
              <a16:creationId xmlns:a16="http://schemas.microsoft.com/office/drawing/2014/main" id="{7DC3404F-A72A-4FA4-AE46-0FF355FF2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215900</xdr:colOff>
      <xdr:row>3</xdr:row>
      <xdr:rowOff>19050</xdr:rowOff>
    </xdr:from>
    <xdr:to>
      <xdr:col>12</xdr:col>
      <xdr:colOff>12700</xdr:colOff>
      <xdr:row>15</xdr:row>
      <xdr:rowOff>95250</xdr:rowOff>
    </xdr:to>
    <xdr:graphicFrame macro="">
      <xdr:nvGraphicFramePr>
        <xdr:cNvPr id="4" name="Chart 3">
          <a:extLst>
            <a:ext uri="{FF2B5EF4-FFF2-40B4-BE49-F238E27FC236}">
              <a16:creationId xmlns:a16="http://schemas.microsoft.com/office/drawing/2014/main" id="{E319E24F-A6FE-47E3-9FE9-D0A7844BB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82550</xdr:colOff>
      <xdr:row>5</xdr:row>
      <xdr:rowOff>12701</xdr:rowOff>
    </xdr:from>
    <xdr:to>
      <xdr:col>15</xdr:col>
      <xdr:colOff>82550</xdr:colOff>
      <xdr:row>10</xdr:row>
      <xdr:rowOff>31751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409A945-7E37-3CB4-5578-FDB21636CDD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375979" y="919844"/>
              <a:ext cx="1823357" cy="926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69850</xdr:colOff>
      <xdr:row>16</xdr:row>
      <xdr:rowOff>120650</xdr:rowOff>
    </xdr:from>
    <xdr:to>
      <xdr:col>15</xdr:col>
      <xdr:colOff>69850</xdr:colOff>
      <xdr:row>25</xdr:row>
      <xdr:rowOff>177799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D854172-14E5-3342-4B0D-62BAA2DB875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363279" y="3023507"/>
              <a:ext cx="1823357" cy="1690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76200</xdr:colOff>
      <xdr:row>10</xdr:row>
      <xdr:rowOff>44451</xdr:rowOff>
    </xdr:from>
    <xdr:to>
      <xdr:col>15</xdr:col>
      <xdr:colOff>76200</xdr:colOff>
      <xdr:row>16</xdr:row>
      <xdr:rowOff>101601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8D84D56-6796-A9BD-6590-A0B80CE7A2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69629" y="1858737"/>
              <a:ext cx="1823357" cy="11457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165100</xdr:colOff>
      <xdr:row>1</xdr:row>
      <xdr:rowOff>19050</xdr:rowOff>
    </xdr:from>
    <xdr:to>
      <xdr:col>11</xdr:col>
      <xdr:colOff>577850</xdr:colOff>
      <xdr:row>13</xdr:row>
      <xdr:rowOff>95250</xdr:rowOff>
    </xdr:to>
    <xdr:graphicFrame macro="">
      <xdr:nvGraphicFramePr>
        <xdr:cNvPr id="2" name="Chart 1">
          <a:extLst>
            <a:ext uri="{FF2B5EF4-FFF2-40B4-BE49-F238E27FC236}">
              <a16:creationId xmlns:a16="http://schemas.microsoft.com/office/drawing/2014/main" id="{4066EC79-B1CF-45F9-F519-7D1F6929E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260350</xdr:colOff>
      <xdr:row>21</xdr:row>
      <xdr:rowOff>31750</xdr:rowOff>
    </xdr:from>
    <xdr:to>
      <xdr:col>11</xdr:col>
      <xdr:colOff>323850</xdr:colOff>
      <xdr:row>36</xdr:row>
      <xdr:rowOff>133350</xdr:rowOff>
    </xdr:to>
    <xdr:graphicFrame macro="">
      <xdr:nvGraphicFramePr>
        <xdr:cNvPr id="3" name="Chart 2">
          <a:extLst>
            <a:ext uri="{FF2B5EF4-FFF2-40B4-BE49-F238E27FC236}">
              <a16:creationId xmlns:a16="http://schemas.microsoft.com/office/drawing/2014/main" id="{CF0FBC3A-CA0A-0352-9C20-6B0A1F8FC4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260350</xdr:colOff>
      <xdr:row>37</xdr:row>
      <xdr:rowOff>44450</xdr:rowOff>
    </xdr:from>
    <xdr:to>
      <xdr:col>11</xdr:col>
      <xdr:colOff>419100</xdr:colOff>
      <xdr:row>52</xdr:row>
      <xdr:rowOff>171450</xdr:rowOff>
    </xdr:to>
    <xdr:graphicFrame macro="">
      <xdr:nvGraphicFramePr>
        <xdr:cNvPr id="4" name="Chart 3">
          <a:extLst>
            <a:ext uri="{FF2B5EF4-FFF2-40B4-BE49-F238E27FC236}">
              <a16:creationId xmlns:a16="http://schemas.microsoft.com/office/drawing/2014/main" id="{8598197C-7D65-DE36-8526-15E1B454E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7.300375462961" createdVersion="8" refreshedVersion="8" minRefreshableVersion="3" recordCount="1000" xr:uid="{D1346C6F-2F90-494F-89F4-7CF42960CD2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41495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4E3220-3719-4338-92B2-52ECA6059FD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AA7E99-1882-45FB-9AFE-35F1C8B1CCCA}"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D30"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E44C5A-9EA2-4745-94E4-6360E7F60018}"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D6"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44A4BC3-4304-4C43-AD75-E74F85ED71A7}" sourceName="Marital Status">
  <pivotTables>
    <pivotTable tabId="3" name="PivotTable1"/>
    <pivotTable tabId="3" name="PivotTable2"/>
    <pivotTable tabId="3" name="PivotTable3"/>
  </pivotTables>
  <data>
    <tabular pivotCacheId="9414952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8BDFD12-363C-430F-AC8E-3314EA550AA4}" sourceName="Education">
  <pivotTables>
    <pivotTable tabId="3" name="PivotTable1"/>
    <pivotTable tabId="3" name="PivotTable2"/>
    <pivotTable tabId="3" name="PivotTable3"/>
  </pivotTables>
  <data>
    <tabular pivotCacheId="9414952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408B89-7286-4903-ACE3-68BF0371BE7A}" sourceName="Region">
  <pivotTables>
    <pivotTable tabId="3" name="PivotTable1"/>
    <pivotTable tabId="3" name="PivotTable2"/>
    <pivotTable tabId="3" name="PivotTable3"/>
  </pivotTables>
  <data>
    <tabular pivotCacheId="9414952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3CD567D-32AB-47AD-BB75-6B3C461C2413}" cache="Slicer_Marital_Status" caption="Marital Status" rowHeight="241300"/>
  <slicer name="Education" xr10:uid="{3A209A36-1F55-47C7-BEB4-B58606897EC7}" cache="Slicer_Education" caption="Education" rowHeight="241300"/>
  <slicer name="Region" xr10:uid="{842B1AFE-1A33-4283-B489-B0BF03E48139}"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D756F-98FC-47BA-AFAE-85E2BBEAE64B}">
  <dimension ref="A1:L3"/>
  <sheetViews>
    <sheetView showGridLines="0" zoomScale="70" zoomScaleNormal="70" workbookViewId="0">
      <selection sqref="A1:L3"/>
    </sheetView>
  </sheetViews>
  <sheetFormatPr defaultRowHeight="14.5" x14ac:dyDescent="0.35"/>
  <sheetData>
    <row r="1" spans="1:12" x14ac:dyDescent="0.35">
      <c r="A1" s="8" t="s">
        <v>49</v>
      </c>
      <c r="B1" s="7"/>
      <c r="C1" s="7"/>
      <c r="D1" s="7"/>
      <c r="E1" s="7"/>
      <c r="F1" s="7"/>
      <c r="G1" s="7"/>
      <c r="H1" s="7"/>
      <c r="I1" s="7"/>
      <c r="J1" s="7"/>
      <c r="K1" s="7"/>
      <c r="L1" s="7"/>
    </row>
    <row r="2" spans="1:12" x14ac:dyDescent="0.35">
      <c r="A2" s="7"/>
      <c r="B2" s="7"/>
      <c r="C2" s="7"/>
      <c r="D2" s="7"/>
      <c r="E2" s="7"/>
      <c r="F2" s="7"/>
      <c r="G2" s="7"/>
      <c r="H2" s="7"/>
      <c r="I2" s="7"/>
      <c r="J2" s="7"/>
      <c r="K2" s="7"/>
      <c r="L2" s="7"/>
    </row>
    <row r="3" spans="1:12" x14ac:dyDescent="0.35">
      <c r="A3" s="7"/>
      <c r="B3" s="7"/>
      <c r="C3" s="7"/>
      <c r="D3" s="7"/>
      <c r="E3" s="7"/>
      <c r="F3" s="7"/>
      <c r="G3" s="7"/>
      <c r="H3" s="7"/>
      <c r="I3" s="7"/>
      <c r="J3" s="7"/>
      <c r="K3" s="7"/>
      <c r="L3" s="7"/>
    </row>
  </sheetData>
  <mergeCells count="1">
    <mergeCell ref="A1: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07B4A-E923-4155-88D5-7BB7D862406F}">
  <dimension ref="A2:D46"/>
  <sheetViews>
    <sheetView topLeftCell="A38" workbookViewId="0">
      <selection activeCell="O45" sqref="O45"/>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2" spans="1:4" x14ac:dyDescent="0.35">
      <c r="A2" s="4" t="s">
        <v>43</v>
      </c>
      <c r="B2" s="4" t="s">
        <v>44</v>
      </c>
    </row>
    <row r="3" spans="1:4" x14ac:dyDescent="0.35">
      <c r="A3" s="4" t="s">
        <v>41</v>
      </c>
      <c r="B3" t="s">
        <v>18</v>
      </c>
      <c r="C3" t="s">
        <v>15</v>
      </c>
      <c r="D3" t="s">
        <v>42</v>
      </c>
    </row>
    <row r="4" spans="1:4" x14ac:dyDescent="0.35">
      <c r="A4" s="5" t="s">
        <v>38</v>
      </c>
      <c r="B4" s="3">
        <v>66666.666666666672</v>
      </c>
      <c r="C4" s="3">
        <v>35000</v>
      </c>
      <c r="D4" s="3">
        <v>48571.428571428572</v>
      </c>
    </row>
    <row r="5" spans="1:4" x14ac:dyDescent="0.35">
      <c r="A5" s="5" t="s">
        <v>39</v>
      </c>
      <c r="B5" s="3">
        <v>22500</v>
      </c>
      <c r="C5" s="3">
        <v>33333.333333333336</v>
      </c>
      <c r="D5" s="3">
        <v>30000</v>
      </c>
    </row>
    <row r="6" spans="1:4" x14ac:dyDescent="0.35">
      <c r="A6" s="5" t="s">
        <v>42</v>
      </c>
      <c r="B6" s="3">
        <v>41428.571428571428</v>
      </c>
      <c r="C6" s="3">
        <v>33846.153846153844</v>
      </c>
      <c r="D6" s="3">
        <v>36500</v>
      </c>
    </row>
    <row r="24" spans="1:4" x14ac:dyDescent="0.35">
      <c r="A24" s="4" t="s">
        <v>45</v>
      </c>
      <c r="B24" s="4" t="s">
        <v>44</v>
      </c>
    </row>
    <row r="25" spans="1:4" x14ac:dyDescent="0.35">
      <c r="A25" s="4" t="s">
        <v>41</v>
      </c>
      <c r="B25" t="s">
        <v>18</v>
      </c>
      <c r="C25" t="s">
        <v>15</v>
      </c>
      <c r="D25" t="s">
        <v>42</v>
      </c>
    </row>
    <row r="26" spans="1:4" x14ac:dyDescent="0.35">
      <c r="A26" s="5" t="s">
        <v>16</v>
      </c>
      <c r="B26" s="6">
        <v>3</v>
      </c>
      <c r="C26" s="6">
        <v>11</v>
      </c>
      <c r="D26" s="6">
        <v>14</v>
      </c>
    </row>
    <row r="27" spans="1:4" x14ac:dyDescent="0.35">
      <c r="A27" s="5" t="s">
        <v>26</v>
      </c>
      <c r="B27" s="6">
        <v>1</v>
      </c>
      <c r="C27" s="6">
        <v>2</v>
      </c>
      <c r="D27" s="6">
        <v>3</v>
      </c>
    </row>
    <row r="28" spans="1:4" x14ac:dyDescent="0.35">
      <c r="A28" s="5" t="s">
        <v>22</v>
      </c>
      <c r="B28" s="6">
        <v>1</v>
      </c>
      <c r="C28" s="6"/>
      <c r="D28" s="6">
        <v>1</v>
      </c>
    </row>
    <row r="29" spans="1:4" x14ac:dyDescent="0.35">
      <c r="A29" s="5" t="s">
        <v>46</v>
      </c>
      <c r="B29" s="6">
        <v>2</v>
      </c>
      <c r="C29" s="6"/>
      <c r="D29" s="6">
        <v>2</v>
      </c>
    </row>
    <row r="30" spans="1:4" x14ac:dyDescent="0.35">
      <c r="A30" s="5" t="s">
        <v>42</v>
      </c>
      <c r="B30" s="6">
        <v>7</v>
      </c>
      <c r="C30" s="6">
        <v>13</v>
      </c>
      <c r="D30" s="6">
        <v>20</v>
      </c>
    </row>
    <row r="42" spans="1:4" x14ac:dyDescent="0.35">
      <c r="A42" s="4" t="s">
        <v>45</v>
      </c>
      <c r="B42" s="4" t="s">
        <v>44</v>
      </c>
    </row>
    <row r="43" spans="1:4" x14ac:dyDescent="0.35">
      <c r="A43" s="4" t="s">
        <v>41</v>
      </c>
      <c r="B43" t="s">
        <v>18</v>
      </c>
      <c r="C43" t="s">
        <v>15</v>
      </c>
      <c r="D43" t="s">
        <v>42</v>
      </c>
    </row>
    <row r="44" spans="1:4" x14ac:dyDescent="0.35">
      <c r="A44" s="5" t="s">
        <v>47</v>
      </c>
      <c r="B44" s="6">
        <v>4</v>
      </c>
      <c r="C44" s="6">
        <v>12</v>
      </c>
      <c r="D44" s="6">
        <v>16</v>
      </c>
    </row>
    <row r="45" spans="1:4" x14ac:dyDescent="0.35">
      <c r="A45" s="5" t="s">
        <v>48</v>
      </c>
      <c r="B45" s="6">
        <v>3</v>
      </c>
      <c r="C45" s="6">
        <v>1</v>
      </c>
      <c r="D45" s="6">
        <v>4</v>
      </c>
    </row>
    <row r="46" spans="1:4" x14ac:dyDescent="0.35">
      <c r="A46" s="5" t="s">
        <v>42</v>
      </c>
      <c r="B46" s="6">
        <v>7</v>
      </c>
      <c r="C46" s="6">
        <v>13</v>
      </c>
      <c r="D46" s="6">
        <v>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D3B27-2865-443F-B19A-72877F7CDB5C}">
  <dimension ref="A1:N1001"/>
  <sheetViews>
    <sheetView tabSelected="1" topLeftCell="B1" workbookViewId="0">
      <selection activeCell="J1" sqref="J1:J1048576"/>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 IF(L2&gt;=31,"Middle Age", IF(L2&lt;31,"Adolescent")))</f>
        <v>Middle Age</v>
      </c>
      <c r="N2" t="s">
        <v>18</v>
      </c>
    </row>
    <row r="3" spans="1:14" x14ac:dyDescent="0.35">
      <c r="A3">
        <v>24107</v>
      </c>
      <c r="B3" t="s">
        <v>36</v>
      </c>
      <c r="C3" t="s">
        <v>39</v>
      </c>
      <c r="D3" s="3">
        <v>30000</v>
      </c>
      <c r="E3">
        <v>3</v>
      </c>
      <c r="F3" t="s">
        <v>19</v>
      </c>
      <c r="G3" t="s">
        <v>20</v>
      </c>
      <c r="H3" t="s">
        <v>15</v>
      </c>
      <c r="I3">
        <v>1</v>
      </c>
      <c r="J3" t="s">
        <v>16</v>
      </c>
      <c r="K3" t="s">
        <v>17</v>
      </c>
      <c r="L3">
        <v>43</v>
      </c>
      <c r="M3" t="str">
        <f t="shared" ref="M3:M66" si="0">IF(L3&gt;54,"Old", IF(L3&gt;=31,"Middle Age", IF(L3&lt;31,"Adolescent")))</f>
        <v>Middle Age</v>
      </c>
      <c r="N3" t="s">
        <v>18</v>
      </c>
    </row>
    <row r="4" spans="1:14" x14ac:dyDescent="0.35">
      <c r="A4">
        <v>14177</v>
      </c>
      <c r="B4" t="s">
        <v>36</v>
      </c>
      <c r="C4" t="s">
        <v>39</v>
      </c>
      <c r="D4" s="3">
        <v>80000</v>
      </c>
      <c r="E4">
        <v>5</v>
      </c>
      <c r="F4" t="s">
        <v>19</v>
      </c>
      <c r="G4" t="s">
        <v>21</v>
      </c>
      <c r="H4" t="s">
        <v>18</v>
      </c>
      <c r="I4">
        <v>2</v>
      </c>
      <c r="J4" t="s">
        <v>22</v>
      </c>
      <c r="K4" t="s">
        <v>17</v>
      </c>
      <c r="L4">
        <v>60</v>
      </c>
      <c r="M4" t="str">
        <f t="shared" si="0"/>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 IF(L67&gt;=31,"Middle Age", IF(L67&lt;31,"Adolescent")))</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 IF(L131&gt;=31,"Middle Age", IF(L131&lt;31,"Adolescent")))</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 IF(L195&gt;=31,"Middle Age", IF(L195&lt;31,"Adolescent")))</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 IF(L259&gt;=31,"Middle Age", IF(L259&lt;31,"Adolescent")))</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 IF(L323&gt;=31,"Middle Age", IF(L323&lt;31,"Adolescent")))</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 IF(L387&gt;=31,"Middle Age", IF(L387&lt;31,"Adolescent")))</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 IF(L451&gt;=31,"Middle Age", IF(L451&lt;31,"Adolescent")))</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 IF(L515&gt;=31,"Middle Age", IF(L515&lt;31,"Adolescent")))</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 IF(L579&gt;=31,"Middle Age", IF(L579&lt;31,"Adolescent")))</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 IF(L643&gt;=31,"Middle Age", IF(L643&lt;31,"Adolescent")))</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 IF(L707&gt;=31,"Middle Age", IF(L707&lt;31,"Adolescent")))</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 IF(L771&gt;=31,"Middle Age", IF(L771&lt;31,"Adolescent")))</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 IF(L835&gt;=31,"Middle Age", IF(L835&lt;31,"Adolescent")))</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 IF(L899&gt;=31,"Middle Age", IF(L899&lt;31,"Adolescent")))</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26" si="15">IF(L963&gt;54,"Old", IF(L963&gt;=31,"Middle Age", IF(L963&lt;31,"Adolescent")))</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Tinuolaji Idowu</cp:lastModifiedBy>
  <dcterms:created xsi:type="dcterms:W3CDTF">2022-03-18T02:50:57Z</dcterms:created>
  <dcterms:modified xsi:type="dcterms:W3CDTF">2026-04-15T15:08:40Z</dcterms:modified>
</cp:coreProperties>
</file>